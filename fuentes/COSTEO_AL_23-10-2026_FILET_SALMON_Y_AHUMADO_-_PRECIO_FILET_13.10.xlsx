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IMPORTACIONES\Importacion Ordinaria - Expedientes\AQUACHILE\PROFORMA 2604 DEL 04-08-2026 (FILET DE SALMON Y AHUMADO)\"/>
    </mc:Choice>
  </mc:AlternateContent>
  <xr:revisionPtr revIDLastSave="0" documentId="13_ncr:1_{3490E8DD-CD45-4972-B504-941460DE7A5C}" xr6:coauthVersionLast="47" xr6:coauthVersionMax="47" xr10:uidLastSave="{00000000-0000-0000-0000-000000000000}"/>
  <bookViews>
    <workbookView xWindow="-120" yWindow="-120" windowWidth="20730" windowHeight="11160" tabRatio="815" xr2:uid="{00000000-000D-0000-FFFF-FFFF00000000}"/>
  </bookViews>
  <sheets>
    <sheet name="COSTEO" sheetId="16" r:id="rId1"/>
  </sheets>
  <definedNames>
    <definedName name="_xlnm.Print_Area" localSheetId="0">COSTEO!#REF!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gDIqscVgP5yXOJCpHFtqxWPDrlaA=="/>
    </ext>
  </extLst>
</workbook>
</file>

<file path=xl/calcChain.xml><?xml version="1.0" encoding="utf-8"?>
<calcChain xmlns="http://schemas.openxmlformats.org/spreadsheetml/2006/main">
  <c r="C16" i="16" l="1"/>
  <c r="C34" i="16"/>
  <c r="C39" i="16"/>
  <c r="H16" i="16"/>
  <c r="F25" i="16"/>
  <c r="F26" i="16"/>
  <c r="C42" i="16" s="1"/>
  <c r="F24" i="16"/>
  <c r="F8" i="16"/>
  <c r="C26" i="16"/>
  <c r="C27" i="16" s="1"/>
  <c r="F6" i="16"/>
  <c r="F7" i="16"/>
  <c r="C41" i="16" s="1"/>
  <c r="C8" i="16"/>
  <c r="H17" i="16"/>
  <c r="F23" i="16"/>
  <c r="C40" i="16" l="1"/>
  <c r="H15" i="16"/>
  <c r="G16" i="16" s="1"/>
  <c r="J19" i="16"/>
  <c r="C9" i="16"/>
  <c r="F13" i="16" l="1"/>
  <c r="F9" i="16"/>
  <c r="F12" i="16"/>
  <c r="F11" i="16"/>
  <c r="F10" i="16"/>
  <c r="G17" i="16"/>
  <c r="F27" i="16" l="1"/>
  <c r="C43" i="16" s="1"/>
  <c r="F31" i="16"/>
  <c r="C47" i="16" s="1"/>
  <c r="F30" i="16"/>
  <c r="C46" i="16" s="1"/>
  <c r="F29" i="16"/>
  <c r="C45" i="16" s="1"/>
  <c r="F28" i="16"/>
  <c r="C44" i="16" s="1"/>
  <c r="G19" i="16"/>
  <c r="F17" i="16" l="1"/>
  <c r="F5" i="16"/>
  <c r="G5" i="16" l="1"/>
  <c r="G23" i="16" l="1"/>
  <c r="C28" i="16" l="1"/>
  <c r="C29" i="16" s="1"/>
  <c r="C30" i="16" s="1"/>
  <c r="C33" i="16" s="1"/>
  <c r="F45" i="16"/>
  <c r="C31" i="16"/>
  <c r="E41" i="16"/>
  <c r="C10" i="16"/>
  <c r="C11" i="16" s="1"/>
  <c r="C48" i="16" l="1"/>
  <c r="C13" i="16"/>
  <c r="C12" i="16" l="1"/>
  <c r="C15" i="16" s="1"/>
</calcChain>
</file>

<file path=xl/sharedStrings.xml><?xml version="1.0" encoding="utf-8"?>
<sst xmlns="http://schemas.openxmlformats.org/spreadsheetml/2006/main" count="69" uniqueCount="42">
  <si>
    <t>CONCEPTO</t>
  </si>
  <si>
    <t>VALOR USD</t>
  </si>
  <si>
    <t>TOTAL GASTOS</t>
  </si>
  <si>
    <t>Naviera</t>
  </si>
  <si>
    <t>Impuestos aduanales (arancel)</t>
  </si>
  <si>
    <t>IVA</t>
  </si>
  <si>
    <t>Total Kilos</t>
  </si>
  <si>
    <t>Gastos de Permisologia</t>
  </si>
  <si>
    <t xml:space="preserve">Total USD </t>
  </si>
  <si>
    <t>Gastos Portuarios</t>
  </si>
  <si>
    <t>Agenciamiento de Aduana</t>
  </si>
  <si>
    <t>Otros (FLETE TERRESTRE)</t>
  </si>
  <si>
    <t>Gastos administ. 1,7%</t>
  </si>
  <si>
    <t>% Costo x contenedor</t>
  </si>
  <si>
    <t>Volumen</t>
  </si>
  <si>
    <t>Flete por contenedor</t>
  </si>
  <si>
    <t>% Volumen</t>
  </si>
  <si>
    <t>TOTAL NAVIERA</t>
  </si>
  <si>
    <t>TOTAL ARANCELES</t>
  </si>
  <si>
    <t>TOTAL IVA</t>
  </si>
  <si>
    <t>TOTAL GASTOS PORTUARIO</t>
  </si>
  <si>
    <t>TOTAL GASTOS AGENCIAMIENTO</t>
  </si>
  <si>
    <t>TOTAL GASTO FLETE TERRESTRE</t>
  </si>
  <si>
    <t>TOTAL PERMISOLOGIA</t>
  </si>
  <si>
    <t>Precio x KG</t>
  </si>
  <si>
    <t>total cajas</t>
  </si>
  <si>
    <t>KG x caja</t>
  </si>
  <si>
    <t>Relación Costos x kg</t>
  </si>
  <si>
    <t>Costo por kg</t>
  </si>
  <si>
    <t>COSTO FINAL POR KG</t>
  </si>
  <si>
    <t>TOTAL GASTO DE ESCOLTA</t>
  </si>
  <si>
    <t>Escolta</t>
  </si>
  <si>
    <t>Pernota en Cealco</t>
  </si>
  <si>
    <t>TOTAL PERNOTA EN CEALCO</t>
  </si>
  <si>
    <t>COSTO ACTUAL POR KG</t>
  </si>
  <si>
    <t>Precio x KG  (11,25)</t>
  </si>
  <si>
    <t>COSTEO  AQUACHILE (CIF) PRECIO ACTUAL AL 22-10-2026</t>
  </si>
  <si>
    <t xml:space="preserve">Total Gasto </t>
  </si>
  <si>
    <t>FILET DE SALMON 3-4LB</t>
  </si>
  <si>
    <t>FILET DE SALMON</t>
  </si>
  <si>
    <t>SALMON AHUMADO</t>
  </si>
  <si>
    <t>SALMON AHUMADO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</si>
</sst>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_-* #,##0.00\ _p_t_a_-;\-* #,##0.00\ _p_t_a_-;_-* &quot;-&quot;??\ _p_t_a_-;_-@_-"/>
    <numFmt numFmtId="166" formatCode="_-[$$-45C]* #,##0.0_-;\-[$$-45C]* #,##0.0_-;_-[$$-45C]* &quot;-&quot;?_-;_-@_-"/>
    <numFmt numFmtId="167" formatCode="#,##0.0_ ;\-#,##0.0\ "/>
    <numFmt numFmtId="168" formatCode="_-[$$-45C]* #,##0.00_-;\-[$$-45C]* #,##0.00_-;_-[$$-45C]* &quot;-&quot;?_-;_-@_-"/>
    <numFmt numFmtId="169" formatCode="[$$-409]#,##0.00"/>
  </numFmts>
  <fonts count="26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ajor"/>
    </font>
    <font>
      <b/>
      <sz val="12"/>
      <color theme="1"/>
      <name val="Calibri"/>
      <family val="1"/>
      <scheme val="major"/>
    </font>
    <font>
      <sz val="11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name val="Calibri"/>
      <family val="2"/>
      <scheme val="major"/>
    </font>
    <font>
      <b/>
      <sz val="20"/>
      <color theme="1"/>
      <name val="Calibri"/>
      <family val="1"/>
      <scheme val="major"/>
    </font>
    <font>
      <sz val="11"/>
      <name val="Calibri"/>
      <family val="2"/>
      <scheme val="minor"/>
    </font>
    <font>
      <b/>
      <sz val="12"/>
      <name val="Calibri"/>
      <family val="2"/>
      <scheme val="major"/>
    </font>
    <font>
      <b/>
      <sz val="11"/>
      <name val="Calibri"/>
      <family val="2"/>
      <scheme val="maj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ajor"/>
    </font>
    <font>
      <b/>
      <sz val="11"/>
      <color theme="0"/>
      <name val="Calibri"/>
      <family val="2"/>
      <scheme val="major"/>
    </font>
    <font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0" fontId="5" fillId="0" borderId="1"/>
    <xf numFmtId="165" fontId="6" fillId="0" borderId="1" applyFont="0" applyFill="0" applyBorder="0" applyAlignment="0" applyProtection="0"/>
    <xf numFmtId="164" fontId="4" fillId="0" borderId="1" applyFont="0" applyFill="0" applyBorder="0" applyAlignment="0" applyProtection="0"/>
    <xf numFmtId="164" fontId="3" fillId="0" borderId="1" applyFont="0" applyFill="0" applyBorder="0" applyAlignment="0" applyProtection="0"/>
    <xf numFmtId="0" fontId="2" fillId="0" borderId="1"/>
    <xf numFmtId="166" fontId="2" fillId="0" borderId="1"/>
    <xf numFmtId="166" fontId="7" fillId="0" borderId="1"/>
    <xf numFmtId="9" fontId="7" fillId="0" borderId="1" applyFont="0" applyFill="0" applyBorder="0" applyAlignment="0" applyProtection="0"/>
    <xf numFmtId="164" fontId="2" fillId="0" borderId="1" applyFont="0" applyFill="0" applyBorder="0" applyAlignment="0" applyProtection="0"/>
    <xf numFmtId="166" fontId="7" fillId="0" borderId="1"/>
    <xf numFmtId="9" fontId="2" fillId="0" borderId="1" applyFont="0" applyFill="0" applyBorder="0" applyAlignment="0" applyProtection="0"/>
    <xf numFmtId="0" fontId="1" fillId="0" borderId="1"/>
    <xf numFmtId="166" fontId="1" fillId="0" borderId="1"/>
    <xf numFmtId="164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0" fontId="8" fillId="0" borderId="1"/>
  </cellStyleXfs>
  <cellXfs count="96">
    <xf numFmtId="0" fontId="0" fillId="0" borderId="0" xfId="0"/>
    <xf numFmtId="166" fontId="1" fillId="3" borderId="1" xfId="13" applyFill="1"/>
    <xf numFmtId="4" fontId="1" fillId="3" borderId="1" xfId="13" applyNumberFormat="1" applyFill="1"/>
    <xf numFmtId="166" fontId="0" fillId="3" borderId="1" xfId="13" applyFont="1" applyFill="1"/>
    <xf numFmtId="4" fontId="11" fillId="3" borderId="1" xfId="7" applyNumberFormat="1" applyFont="1" applyFill="1" applyAlignment="1">
      <alignment horizontal="center" vertical="center" wrapText="1"/>
    </xf>
    <xf numFmtId="166" fontId="11" fillId="3" borderId="1" xfId="7" applyFont="1" applyFill="1" applyAlignment="1">
      <alignment horizontal="center" vertical="center"/>
    </xf>
    <xf numFmtId="166" fontId="12" fillId="3" borderId="14" xfId="13" applyFont="1" applyFill="1" applyBorder="1" applyAlignment="1">
      <alignment horizontal="center" vertical="center"/>
    </xf>
    <xf numFmtId="166" fontId="12" fillId="3" borderId="15" xfId="13" applyFont="1" applyFill="1" applyBorder="1" applyAlignment="1">
      <alignment horizontal="center" vertical="center"/>
    </xf>
    <xf numFmtId="166" fontId="12" fillId="3" borderId="16" xfId="13" applyFont="1" applyFill="1" applyBorder="1" applyAlignment="1">
      <alignment vertical="center"/>
    </xf>
    <xf numFmtId="166" fontId="12" fillId="3" borderId="5" xfId="13" applyFont="1" applyFill="1" applyBorder="1" applyAlignment="1">
      <alignment horizontal="center" vertical="center"/>
    </xf>
    <xf numFmtId="166" fontId="12" fillId="3" borderId="6" xfId="13" applyFont="1" applyFill="1" applyBorder="1" applyAlignment="1">
      <alignment horizontal="center" vertical="center"/>
    </xf>
    <xf numFmtId="4" fontId="13" fillId="3" borderId="1" xfId="7" applyNumberFormat="1" applyFont="1" applyFill="1" applyAlignment="1">
      <alignment horizontal="center" vertical="center"/>
    </xf>
    <xf numFmtId="2" fontId="14" fillId="3" borderId="1" xfId="7" applyNumberFormat="1" applyFont="1" applyFill="1" applyAlignment="1">
      <alignment horizontal="center" vertical="center"/>
    </xf>
    <xf numFmtId="166" fontId="13" fillId="3" borderId="1" xfId="13" applyFont="1" applyFill="1"/>
    <xf numFmtId="4" fontId="13" fillId="3" borderId="2" xfId="14" applyNumberFormat="1" applyFont="1" applyFill="1" applyBorder="1"/>
    <xf numFmtId="166" fontId="13" fillId="3" borderId="7" xfId="13" applyFont="1" applyFill="1" applyBorder="1"/>
    <xf numFmtId="4" fontId="1" fillId="3" borderId="1" xfId="13" applyNumberFormat="1" applyFill="1" applyAlignment="1">
      <alignment horizontal="center" vertical="center"/>
    </xf>
    <xf numFmtId="4" fontId="11" fillId="3" borderId="1" xfId="10" applyNumberFormat="1" applyFont="1" applyFill="1" applyAlignment="1">
      <alignment vertical="center"/>
    </xf>
    <xf numFmtId="4" fontId="13" fillId="3" borderId="2" xfId="8" applyNumberFormat="1" applyFont="1" applyFill="1" applyBorder="1"/>
    <xf numFmtId="4" fontId="14" fillId="3" borderId="1" xfId="10" applyNumberFormat="1" applyFont="1" applyFill="1" applyAlignment="1">
      <alignment horizontal="center" vertical="center"/>
    </xf>
    <xf numFmtId="166" fontId="13" fillId="3" borderId="19" xfId="13" applyFont="1" applyFill="1" applyBorder="1"/>
    <xf numFmtId="164" fontId="13" fillId="3" borderId="1" xfId="13" applyNumberFormat="1" applyFont="1" applyFill="1" applyAlignment="1">
      <alignment vertical="center" wrapText="1"/>
    </xf>
    <xf numFmtId="166" fontId="14" fillId="3" borderId="1" xfId="13" applyFont="1" applyFill="1"/>
    <xf numFmtId="166" fontId="9" fillId="3" borderId="1" xfId="13" applyFont="1" applyFill="1"/>
    <xf numFmtId="166" fontId="14" fillId="3" borderId="1" xfId="13" applyFont="1" applyFill="1" applyAlignment="1">
      <alignment horizontal="center" vertical="center"/>
    </xf>
    <xf numFmtId="164" fontId="11" fillId="3" borderId="1" xfId="13" applyNumberFormat="1" applyFont="1" applyFill="1" applyAlignment="1">
      <alignment horizontal="center" vertical="center"/>
    </xf>
    <xf numFmtId="164" fontId="13" fillId="3" borderId="1" xfId="13" applyNumberFormat="1" applyFont="1" applyFill="1"/>
    <xf numFmtId="167" fontId="1" fillId="3" borderId="1" xfId="13" applyNumberFormat="1" applyFill="1"/>
    <xf numFmtId="166" fontId="14" fillId="3" borderId="1" xfId="13" applyFont="1" applyFill="1" applyAlignment="1">
      <alignment horizontal="center" vertical="center" wrapText="1"/>
    </xf>
    <xf numFmtId="166" fontId="13" fillId="3" borderId="22" xfId="13" applyFont="1" applyFill="1" applyBorder="1"/>
    <xf numFmtId="164" fontId="14" fillId="3" borderId="1" xfId="13" applyNumberFormat="1" applyFont="1" applyFill="1" applyAlignment="1">
      <alignment vertical="center" wrapText="1"/>
    </xf>
    <xf numFmtId="9" fontId="14" fillId="3" borderId="1" xfId="13" applyNumberFormat="1" applyFont="1" applyFill="1" applyAlignment="1">
      <alignment vertical="center" wrapText="1"/>
    </xf>
    <xf numFmtId="169" fontId="13" fillId="3" borderId="1" xfId="13" applyNumberFormat="1" applyFont="1" applyFill="1"/>
    <xf numFmtId="168" fontId="13" fillId="3" borderId="1" xfId="13" applyNumberFormat="1" applyFont="1" applyFill="1"/>
    <xf numFmtId="168" fontId="13" fillId="3" borderId="1" xfId="13" applyNumberFormat="1" applyFont="1" applyFill="1" applyAlignment="1">
      <alignment horizontal="center" vertical="center"/>
    </xf>
    <xf numFmtId="2" fontId="13" fillId="3" borderId="1" xfId="13" applyNumberFormat="1" applyFont="1" applyFill="1" applyAlignment="1">
      <alignment horizontal="right" vertical="center"/>
    </xf>
    <xf numFmtId="169" fontId="13" fillId="3" borderId="22" xfId="13" applyNumberFormat="1" applyFont="1" applyFill="1" applyBorder="1"/>
    <xf numFmtId="166" fontId="12" fillId="3" borderId="4" xfId="13" applyFont="1" applyFill="1" applyBorder="1" applyAlignment="1">
      <alignment horizontal="center" vertical="center"/>
    </xf>
    <xf numFmtId="166" fontId="13" fillId="3" borderId="9" xfId="13" applyFont="1" applyFill="1" applyBorder="1"/>
    <xf numFmtId="166" fontId="14" fillId="2" borderId="23" xfId="13" applyFont="1" applyFill="1" applyBorder="1" applyAlignment="1">
      <alignment horizontal="center" vertical="center"/>
    </xf>
    <xf numFmtId="164" fontId="11" fillId="2" borderId="23" xfId="13" applyNumberFormat="1" applyFont="1" applyFill="1" applyBorder="1" applyAlignment="1">
      <alignment horizontal="center" vertical="center"/>
    </xf>
    <xf numFmtId="166" fontId="14" fillId="2" borderId="20" xfId="13" applyFont="1" applyFill="1" applyBorder="1" applyAlignment="1">
      <alignment horizontal="center" vertical="center"/>
    </xf>
    <xf numFmtId="164" fontId="11" fillId="2" borderId="20" xfId="13" applyNumberFormat="1" applyFont="1" applyFill="1" applyBorder="1" applyAlignment="1">
      <alignment horizontal="center" vertical="center"/>
    </xf>
    <xf numFmtId="168" fontId="11" fillId="3" borderId="1" xfId="13" applyNumberFormat="1" applyFont="1" applyFill="1"/>
    <xf numFmtId="166" fontId="13" fillId="3" borderId="17" xfId="6" applyFont="1" applyFill="1" applyBorder="1"/>
    <xf numFmtId="166" fontId="13" fillId="3" borderId="7" xfId="6" applyFont="1" applyFill="1" applyBorder="1"/>
    <xf numFmtId="166" fontId="13" fillId="3" borderId="7" xfId="6" applyFont="1" applyFill="1" applyBorder="1" applyAlignment="1">
      <alignment vertical="center"/>
    </xf>
    <xf numFmtId="4" fontId="13" fillId="3" borderId="18" xfId="6" applyNumberFormat="1" applyFont="1" applyFill="1" applyBorder="1"/>
    <xf numFmtId="4" fontId="13" fillId="3" borderId="3" xfId="6" applyNumberFormat="1" applyFont="1" applyFill="1" applyBorder="1"/>
    <xf numFmtId="4" fontId="13" fillId="3" borderId="2" xfId="6" applyNumberFormat="1" applyFont="1" applyFill="1" applyBorder="1"/>
    <xf numFmtId="4" fontId="13" fillId="3" borderId="2" xfId="3" applyNumberFormat="1" applyFont="1" applyFill="1" applyBorder="1"/>
    <xf numFmtId="9" fontId="13" fillId="3" borderId="2" xfId="11" applyFont="1" applyFill="1" applyBorder="1"/>
    <xf numFmtId="166" fontId="13" fillId="3" borderId="1" xfId="13" applyFont="1" applyFill="1" applyBorder="1"/>
    <xf numFmtId="169" fontId="13" fillId="3" borderId="1" xfId="13" applyNumberFormat="1" applyFont="1" applyFill="1" applyBorder="1"/>
    <xf numFmtId="4" fontId="17" fillId="3" borderId="1" xfId="13" applyNumberFormat="1" applyFont="1" applyFill="1"/>
    <xf numFmtId="4" fontId="18" fillId="3" borderId="1" xfId="7" applyNumberFormat="1" applyFont="1" applyFill="1" applyAlignment="1">
      <alignment horizontal="center" vertical="center"/>
    </xf>
    <xf numFmtId="4" fontId="15" fillId="3" borderId="1" xfId="8" applyNumberFormat="1" applyFont="1" applyFill="1" applyBorder="1" applyAlignment="1">
      <alignment horizontal="center" vertical="center"/>
    </xf>
    <xf numFmtId="4" fontId="17" fillId="3" borderId="1" xfId="13" applyNumberFormat="1" applyFont="1" applyFill="1" applyAlignment="1">
      <alignment horizontal="center" vertical="center"/>
    </xf>
    <xf numFmtId="166" fontId="17" fillId="3" borderId="1" xfId="13" applyFont="1" applyFill="1"/>
    <xf numFmtId="4" fontId="19" fillId="3" borderId="1" xfId="10" applyNumberFormat="1" applyFont="1" applyFill="1" applyAlignment="1">
      <alignment horizontal="center" vertical="center"/>
    </xf>
    <xf numFmtId="4" fontId="13" fillId="3" borderId="1" xfId="13" applyNumberFormat="1" applyFont="1" applyFill="1"/>
    <xf numFmtId="4" fontId="13" fillId="3" borderId="1" xfId="13" applyNumberFormat="1" applyFont="1" applyFill="1" applyBorder="1"/>
    <xf numFmtId="4" fontId="13" fillId="3" borderId="27" xfId="14" applyNumberFormat="1" applyFont="1" applyFill="1" applyBorder="1"/>
    <xf numFmtId="4" fontId="22" fillId="3" borderId="1" xfId="10" applyNumberFormat="1" applyFont="1" applyFill="1" applyBorder="1" applyAlignment="1">
      <alignment horizontal="center" vertical="center" wrapText="1"/>
    </xf>
    <xf numFmtId="4" fontId="23" fillId="3" borderId="1" xfId="8" applyNumberFormat="1" applyFont="1" applyFill="1" applyBorder="1"/>
    <xf numFmtId="4" fontId="9" fillId="3" borderId="1" xfId="13" applyNumberFormat="1" applyFont="1" applyFill="1" applyBorder="1"/>
    <xf numFmtId="4" fontId="20" fillId="3" borderId="1" xfId="13" applyNumberFormat="1" applyFont="1" applyFill="1" applyBorder="1"/>
    <xf numFmtId="4" fontId="21" fillId="3" borderId="1" xfId="13" applyNumberFormat="1" applyFont="1" applyFill="1" applyBorder="1"/>
    <xf numFmtId="166" fontId="14" fillId="3" borderId="11" xfId="13" applyFont="1" applyFill="1" applyBorder="1" applyAlignment="1">
      <alignment horizontal="center" vertical="center"/>
    </xf>
    <xf numFmtId="168" fontId="14" fillId="3" borderId="13" xfId="13" applyNumberFormat="1" applyFont="1" applyFill="1" applyBorder="1" applyAlignment="1">
      <alignment horizontal="center" vertical="center"/>
    </xf>
    <xf numFmtId="166" fontId="15" fillId="3" borderId="1" xfId="13" applyFont="1" applyFill="1" applyBorder="1"/>
    <xf numFmtId="164" fontId="15" fillId="3" borderId="1" xfId="14" applyFont="1" applyFill="1" applyBorder="1"/>
    <xf numFmtId="164" fontId="15" fillId="3" borderId="1" xfId="13" applyNumberFormat="1" applyFont="1" applyFill="1" applyBorder="1" applyAlignment="1">
      <alignment vertical="center" wrapText="1"/>
    </xf>
    <xf numFmtId="166" fontId="17" fillId="3" borderId="1" xfId="13" applyFont="1" applyFill="1" applyBorder="1" applyAlignment="1">
      <alignment horizontal="center"/>
    </xf>
    <xf numFmtId="166" fontId="19" fillId="3" borderId="1" xfId="13" applyFont="1" applyFill="1" applyBorder="1"/>
    <xf numFmtId="164" fontId="19" fillId="3" borderId="1" xfId="13" applyNumberFormat="1" applyFont="1" applyFill="1" applyBorder="1"/>
    <xf numFmtId="164" fontId="15" fillId="3" borderId="1" xfId="13" applyNumberFormat="1" applyFont="1" applyFill="1" applyBorder="1" applyAlignment="1">
      <alignment horizontal="center" vertical="center" wrapText="1"/>
    </xf>
    <xf numFmtId="167" fontId="24" fillId="3" borderId="1" xfId="13" applyNumberFormat="1" applyFont="1" applyFill="1" applyBorder="1"/>
    <xf numFmtId="164" fontId="15" fillId="3" borderId="1" xfId="13" applyNumberFormat="1" applyFont="1" applyFill="1" applyBorder="1"/>
    <xf numFmtId="167" fontId="17" fillId="3" borderId="1" xfId="13" applyNumberFormat="1" applyFont="1" applyFill="1" applyBorder="1"/>
    <xf numFmtId="166" fontId="17" fillId="3" borderId="1" xfId="13" applyFont="1" applyFill="1" applyBorder="1"/>
    <xf numFmtId="164" fontId="15" fillId="3" borderId="21" xfId="13" applyNumberFormat="1" applyFont="1" applyFill="1" applyBorder="1" applyAlignment="1">
      <alignment vertical="center" wrapText="1"/>
    </xf>
    <xf numFmtId="4" fontId="25" fillId="3" borderId="18" xfId="6" applyNumberFormat="1" applyFont="1" applyFill="1" applyBorder="1"/>
    <xf numFmtId="166" fontId="25" fillId="3" borderId="17" xfId="6" applyFont="1" applyFill="1" applyBorder="1"/>
    <xf numFmtId="166" fontId="11" fillId="3" borderId="1" xfId="13" applyFont="1" applyFill="1" applyAlignment="1">
      <alignment horizontal="center" vertical="center" wrapText="1"/>
    </xf>
    <xf numFmtId="0" fontId="10" fillId="3" borderId="11" xfId="12" applyFont="1" applyFill="1" applyBorder="1" applyAlignment="1">
      <alignment horizontal="center" vertical="center"/>
    </xf>
    <xf numFmtId="0" fontId="10" fillId="3" borderId="12" xfId="12" applyFont="1" applyFill="1" applyBorder="1" applyAlignment="1">
      <alignment horizontal="center" vertical="center"/>
    </xf>
    <xf numFmtId="0" fontId="10" fillId="3" borderId="13" xfId="12" applyFont="1" applyFill="1" applyBorder="1" applyAlignment="1">
      <alignment horizontal="center" vertical="center"/>
    </xf>
    <xf numFmtId="166" fontId="16" fillId="2" borderId="11" xfId="13" applyFont="1" applyFill="1" applyBorder="1" applyAlignment="1">
      <alignment horizontal="center" vertical="center" wrapText="1"/>
    </xf>
    <xf numFmtId="166" fontId="16" fillId="2" borderId="12" xfId="13" applyFont="1" applyFill="1" applyBorder="1" applyAlignment="1">
      <alignment horizontal="center" vertical="center" wrapText="1"/>
    </xf>
    <xf numFmtId="166" fontId="16" fillId="2" borderId="13" xfId="13" applyFont="1" applyFill="1" applyBorder="1" applyAlignment="1">
      <alignment horizontal="center" vertical="center" wrapText="1"/>
    </xf>
    <xf numFmtId="164" fontId="14" fillId="3" borderId="8" xfId="13" applyNumberFormat="1" applyFont="1" applyFill="1" applyBorder="1" applyAlignment="1">
      <alignment horizontal="center" vertical="center" wrapText="1"/>
    </xf>
    <xf numFmtId="164" fontId="14" fillId="3" borderId="10" xfId="13" applyNumberFormat="1" applyFont="1" applyFill="1" applyBorder="1" applyAlignment="1">
      <alignment horizontal="center" vertical="center" wrapText="1"/>
    </xf>
    <xf numFmtId="164" fontId="14" fillId="3" borderId="24" xfId="13" applyNumberFormat="1" applyFont="1" applyFill="1" applyBorder="1" applyAlignment="1">
      <alignment horizontal="center" vertical="center" wrapText="1"/>
    </xf>
    <xf numFmtId="164" fontId="14" fillId="3" borderId="25" xfId="13" applyNumberFormat="1" applyFont="1" applyFill="1" applyBorder="1" applyAlignment="1">
      <alignment horizontal="center" vertical="center" wrapText="1"/>
    </xf>
    <xf numFmtId="164" fontId="14" fillId="3" borderId="26" xfId="13" applyNumberFormat="1" applyFont="1" applyFill="1" applyBorder="1" applyAlignment="1">
      <alignment horizontal="center" vertical="center" wrapText="1"/>
    </xf>
  </cellXfs>
  <cellStyles count="17">
    <cellStyle name="Millares 2" xfId="3" xr:uid="{00000000-0005-0000-0000-000001000000}"/>
    <cellStyle name="Millares 2 2" xfId="4" xr:uid="{8340D8C7-1CE7-482A-924B-6FB5599753BC}"/>
    <cellStyle name="Millares 2 3" xfId="9" xr:uid="{D22BEA59-CB43-4BE4-9F5F-051DCF385A0B}"/>
    <cellStyle name="Millares 2 3 2" xfId="14" xr:uid="{F9382182-2D28-4133-A6BF-77628D014320}"/>
    <cellStyle name="Millares 3" xfId="2" xr:uid="{00000000-0005-0000-0000-000002000000}"/>
    <cellStyle name="Normal" xfId="0" builtinId="0"/>
    <cellStyle name="Normal 2" xfId="1" xr:uid="{00000000-0005-0000-0000-000004000000}"/>
    <cellStyle name="Normal 2 2" xfId="6" xr:uid="{6D218AEA-E7D9-48D5-90F6-83687DD3D801}"/>
    <cellStyle name="Normal 2 2 2" xfId="13" xr:uid="{F3D06E47-B683-4C60-AD78-30FDB362D2E5}"/>
    <cellStyle name="Normal 3" xfId="5" xr:uid="{4117B97C-27C3-4EF2-A1BC-36EFF9B543E1}"/>
    <cellStyle name="Normal 3 2" xfId="10" xr:uid="{175E187B-EA5B-44BC-8535-EC8973E0C7E3}"/>
    <cellStyle name="Normal 3 3" xfId="12" xr:uid="{44D7E3C9-9958-4350-9F45-1280B962F287}"/>
    <cellStyle name="Normal 4" xfId="7" xr:uid="{A8650CCF-67B1-4D3B-8407-37F2FD0ABB98}"/>
    <cellStyle name="Normal 5" xfId="16" xr:uid="{7FF1D088-A162-4E6D-8B57-570030CBC8A7}"/>
    <cellStyle name="Porcentaje 2" xfId="11" xr:uid="{2E33A0FC-4A11-4489-A58B-51D7D757E317}"/>
    <cellStyle name="Porcentaje 2 2" xfId="15" xr:uid="{A9D948C3-3AEB-4661-A1AD-462DB8414E79}"/>
    <cellStyle name="Porcentual 2" xfId="8" xr:uid="{805B19B6-D026-4F75-9CFB-DF3E086BF3CA}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DCB3-D841-46C4-8F58-AE32D090F943}">
  <sheetPr>
    <pageSetUpPr fitToPage="1"/>
  </sheetPr>
  <dimension ref="B1:K95"/>
  <sheetViews>
    <sheetView tabSelected="1" zoomScale="75" zoomScaleNormal="75" workbookViewId="0">
      <selection activeCell="B22" sqref="B22"/>
    </sheetView>
  </sheetViews>
  <sheetFormatPr baseColWidth="10" defaultRowHeight="15" x14ac:dyDescent="0.25"/>
  <cols>
    <col min="1" max="1" width="1.85546875" style="1" customWidth="1"/>
    <col min="2" max="2" width="28.85546875" style="13" customWidth="1"/>
    <col min="3" max="3" width="19.7109375" style="13" customWidth="1"/>
    <col min="4" max="4" width="5.42578125" style="13" customWidth="1"/>
    <col min="5" max="5" width="31.28515625" style="13" customWidth="1"/>
    <col min="6" max="6" width="15.5703125" style="13" customWidth="1"/>
    <col min="7" max="7" width="16.7109375" style="13" customWidth="1"/>
    <col min="8" max="8" width="14.28515625" style="1" customWidth="1"/>
    <col min="9" max="9" width="15.7109375" style="2" customWidth="1"/>
    <col min="10" max="10" width="13.85546875" style="54" customWidth="1"/>
    <col min="11" max="11" width="20.7109375" style="1" customWidth="1"/>
    <col min="12" max="13" width="11.42578125" style="1"/>
    <col min="14" max="14" width="15.5703125" style="1" customWidth="1"/>
    <col min="15" max="15" width="70.7109375" style="1" customWidth="1"/>
    <col min="16" max="16" width="22" style="1" customWidth="1"/>
    <col min="17" max="17" width="18.7109375" style="1" customWidth="1"/>
    <col min="18" max="18" width="17.85546875" style="1" customWidth="1"/>
    <col min="19" max="16384" width="11.42578125" style="1"/>
  </cols>
  <sheetData>
    <row r="1" spans="2:11" ht="15.75" thickBot="1" x14ac:dyDescent="0.3"/>
    <row r="2" spans="2:11" ht="42" customHeight="1" thickBot="1" x14ac:dyDescent="0.3">
      <c r="B2" s="85" t="s">
        <v>36</v>
      </c>
      <c r="C2" s="86"/>
      <c r="D2" s="86"/>
      <c r="E2" s="86"/>
      <c r="F2" s="86"/>
      <c r="G2" s="87"/>
    </row>
    <row r="3" spans="2:11" ht="31.5" customHeight="1" thickBot="1" x14ac:dyDescent="0.3">
      <c r="B3" s="88" t="s">
        <v>38</v>
      </c>
      <c r="C3" s="89"/>
      <c r="D3" s="89"/>
      <c r="E3" s="89"/>
      <c r="F3" s="89"/>
      <c r="G3" s="90"/>
      <c r="H3" s="3"/>
      <c r="I3" s="4"/>
      <c r="J3" s="55"/>
      <c r="K3" s="5"/>
    </row>
    <row r="4" spans="2:11" ht="15.75" x14ac:dyDescent="0.25">
      <c r="B4" s="6" t="s">
        <v>0</v>
      </c>
      <c r="C4" s="7" t="s">
        <v>1</v>
      </c>
      <c r="D4" s="8"/>
      <c r="E4" s="37" t="s">
        <v>0</v>
      </c>
      <c r="F4" s="9" t="s">
        <v>1</v>
      </c>
      <c r="G4" s="10" t="s">
        <v>2</v>
      </c>
      <c r="I4" s="11"/>
      <c r="J4" s="56"/>
      <c r="K4" s="12"/>
    </row>
    <row r="5" spans="2:11" x14ac:dyDescent="0.25">
      <c r="B5" s="83" t="s">
        <v>35</v>
      </c>
      <c r="C5" s="82">
        <v>13.1</v>
      </c>
      <c r="E5" s="15" t="s">
        <v>3</v>
      </c>
      <c r="F5" s="14">
        <f>F16</f>
        <v>0</v>
      </c>
      <c r="G5" s="93">
        <f>SUM(F5:F13)</f>
        <v>20534.721103484433</v>
      </c>
      <c r="I5" s="11"/>
      <c r="J5" s="56"/>
      <c r="K5" s="12"/>
    </row>
    <row r="6" spans="2:11" x14ac:dyDescent="0.25">
      <c r="B6" s="45" t="s">
        <v>25</v>
      </c>
      <c r="C6" s="48">
        <v>1486</v>
      </c>
      <c r="E6" s="15" t="s">
        <v>4</v>
      </c>
      <c r="F6" s="14">
        <f>(13374133.34-11901211.16)/881.066</f>
        <v>1671.7501072564366</v>
      </c>
      <c r="G6" s="94"/>
      <c r="I6" s="16"/>
      <c r="J6" s="57"/>
      <c r="K6" s="12"/>
    </row>
    <row r="7" spans="2:11" x14ac:dyDescent="0.25">
      <c r="B7" s="45" t="s">
        <v>26</v>
      </c>
      <c r="C7" s="49">
        <v>10</v>
      </c>
      <c r="E7" s="15" t="s">
        <v>5</v>
      </c>
      <c r="F7" s="14">
        <f>(11901211.16)/881.066</f>
        <v>13507.740804888623</v>
      </c>
      <c r="G7" s="94"/>
    </row>
    <row r="8" spans="2:11" x14ac:dyDescent="0.25">
      <c r="B8" s="45" t="s">
        <v>6</v>
      </c>
      <c r="C8" s="50">
        <f>C6*C7</f>
        <v>14860</v>
      </c>
      <c r="E8" s="15" t="s">
        <v>7</v>
      </c>
      <c r="F8" s="14">
        <f>(60+553.01)+299.28+74.82+(146.9)</f>
        <v>1134.01</v>
      </c>
      <c r="G8" s="94"/>
    </row>
    <row r="9" spans="2:11" ht="15" customHeight="1" x14ac:dyDescent="0.25">
      <c r="B9" s="45" t="s">
        <v>8</v>
      </c>
      <c r="C9" s="49">
        <f>C5*C8</f>
        <v>194666</v>
      </c>
      <c r="E9" s="15" t="s">
        <v>9</v>
      </c>
      <c r="F9" s="14">
        <f>3909.55*COSTEO!G16/100</f>
        <v>2925.2725579053372</v>
      </c>
      <c r="G9" s="94"/>
      <c r="I9" s="17"/>
    </row>
    <row r="10" spans="2:11" ht="15" customHeight="1" x14ac:dyDescent="0.25">
      <c r="B10" s="45" t="s">
        <v>27</v>
      </c>
      <c r="C10" s="18">
        <f>G5/C8</f>
        <v>1.3818789437068932</v>
      </c>
      <c r="E10" s="15" t="s">
        <v>10</v>
      </c>
      <c r="F10" s="14">
        <f>842*COSTEO!G16/100</f>
        <v>630.01611278952669</v>
      </c>
      <c r="G10" s="94"/>
      <c r="I10" s="17"/>
    </row>
    <row r="11" spans="2:11" x14ac:dyDescent="0.25">
      <c r="B11" s="45" t="s">
        <v>28</v>
      </c>
      <c r="C11" s="18">
        <f>C10+C5</f>
        <v>14.481878943706892</v>
      </c>
      <c r="E11" s="15" t="s">
        <v>11</v>
      </c>
      <c r="F11" s="14">
        <f>(700)*G16/100</f>
        <v>523.76636455186303</v>
      </c>
      <c r="G11" s="94"/>
      <c r="I11" s="19"/>
    </row>
    <row r="12" spans="2:11" x14ac:dyDescent="0.25">
      <c r="B12" s="45" t="s">
        <v>12</v>
      </c>
      <c r="C12" s="18">
        <f>C11*1.5%</f>
        <v>0.21722818415560338</v>
      </c>
      <c r="E12" s="15" t="s">
        <v>31</v>
      </c>
      <c r="F12" s="14">
        <f>(150)*G16/100</f>
        <v>112.23564954682779</v>
      </c>
      <c r="G12" s="94"/>
      <c r="I12" s="19"/>
    </row>
    <row r="13" spans="2:11" ht="15.75" thickBot="1" x14ac:dyDescent="0.3">
      <c r="B13" s="46" t="s">
        <v>13</v>
      </c>
      <c r="C13" s="51">
        <f>+G5/C9</f>
        <v>0.10548694226770178</v>
      </c>
      <c r="E13" s="38" t="s">
        <v>32</v>
      </c>
      <c r="F13" s="62">
        <f>(40)*G16/100</f>
        <v>29.92950654582074</v>
      </c>
      <c r="G13" s="95"/>
      <c r="H13" s="58"/>
      <c r="I13" s="59"/>
    </row>
    <row r="14" spans="2:11" ht="15.75" thickBot="1" x14ac:dyDescent="0.3">
      <c r="B14" s="20"/>
      <c r="E14" s="70"/>
      <c r="F14" s="71"/>
      <c r="G14" s="72"/>
      <c r="H14" s="73" t="s">
        <v>14</v>
      </c>
      <c r="I14" s="63"/>
      <c r="J14" s="67"/>
    </row>
    <row r="15" spans="2:11" ht="22.5" customHeight="1" thickBot="1" x14ac:dyDescent="0.3">
      <c r="B15" s="39" t="s">
        <v>34</v>
      </c>
      <c r="C15" s="40">
        <f>C11+C12</f>
        <v>14.699107127862495</v>
      </c>
      <c r="E15" s="74" t="s">
        <v>15</v>
      </c>
      <c r="F15" s="75">
        <v>0</v>
      </c>
      <c r="G15" s="76" t="s">
        <v>16</v>
      </c>
      <c r="H15" s="77">
        <f>SUM(H16:H18)</f>
        <v>1986</v>
      </c>
      <c r="I15" s="64"/>
      <c r="J15" s="65"/>
      <c r="K15" s="23"/>
    </row>
    <row r="16" spans="2:11" ht="21" customHeight="1" thickBot="1" x14ac:dyDescent="0.3">
      <c r="B16" s="68" t="s">
        <v>37</v>
      </c>
      <c r="C16" s="69">
        <f>(0.22*14860)+20534.72+((13.1-11.25)*14860)</f>
        <v>51294.92</v>
      </c>
      <c r="E16" s="70" t="s">
        <v>39</v>
      </c>
      <c r="F16" s="78"/>
      <c r="G16" s="72">
        <f>H16*100/$H$15</f>
        <v>74.823766364551858</v>
      </c>
      <c r="H16" s="79">
        <f>14.86*100</f>
        <v>1486</v>
      </c>
      <c r="I16" s="64"/>
      <c r="J16" s="65">
        <v>14860</v>
      </c>
      <c r="K16" s="23"/>
    </row>
    <row r="17" spans="2:11" ht="15.75" x14ac:dyDescent="0.25">
      <c r="B17" s="24"/>
      <c r="C17" s="25"/>
      <c r="E17" s="70" t="s">
        <v>40</v>
      </c>
      <c r="F17" s="78">
        <f t="shared" ref="F17" si="0">(G17*$F$15/100)</f>
        <v>0</v>
      </c>
      <c r="G17" s="81">
        <f>H17*100/$H$15</f>
        <v>25.176233635448138</v>
      </c>
      <c r="H17" s="79">
        <f>5*100</f>
        <v>500</v>
      </c>
      <c r="I17" s="65"/>
      <c r="J17" s="65">
        <v>5000</v>
      </c>
      <c r="K17" s="23"/>
    </row>
    <row r="18" spans="2:11" x14ac:dyDescent="0.25">
      <c r="B18" s="28"/>
      <c r="C18" s="28"/>
      <c r="E18" s="70"/>
      <c r="F18" s="78"/>
      <c r="G18" s="72"/>
      <c r="H18" s="79"/>
      <c r="I18" s="65"/>
      <c r="J18" s="65">
        <v>0</v>
      </c>
      <c r="K18" s="23"/>
    </row>
    <row r="19" spans="2:11" x14ac:dyDescent="0.25">
      <c r="B19" s="28"/>
      <c r="C19" s="28"/>
      <c r="E19" s="70"/>
      <c r="F19" s="78"/>
      <c r="G19" s="72">
        <f>SUM(G16:G18)</f>
        <v>100</v>
      </c>
      <c r="H19" s="79"/>
      <c r="I19" s="66"/>
      <c r="J19" s="65">
        <f>SUM(J13:J18)</f>
        <v>19860</v>
      </c>
      <c r="K19" s="23"/>
    </row>
    <row r="20" spans="2:11" ht="15.75" thickBot="1" x14ac:dyDescent="0.3">
      <c r="B20" s="28"/>
      <c r="C20" s="28"/>
      <c r="E20" s="70"/>
      <c r="F20" s="78"/>
      <c r="G20" s="72"/>
      <c r="H20" s="80"/>
      <c r="I20" s="65"/>
      <c r="J20" s="65"/>
    </row>
    <row r="21" spans="2:11" ht="33" customHeight="1" thickBot="1" x14ac:dyDescent="0.3">
      <c r="B21" s="88" t="s">
        <v>41</v>
      </c>
      <c r="C21" s="89"/>
      <c r="D21" s="89"/>
      <c r="E21" s="89"/>
      <c r="F21" s="89"/>
      <c r="G21" s="90"/>
    </row>
    <row r="22" spans="2:11" ht="19.5" customHeight="1" x14ac:dyDescent="0.25">
      <c r="B22" s="6" t="s">
        <v>0</v>
      </c>
      <c r="C22" s="7" t="s">
        <v>1</v>
      </c>
      <c r="D22" s="8"/>
      <c r="E22" s="37" t="s">
        <v>0</v>
      </c>
      <c r="F22" s="9" t="s">
        <v>1</v>
      </c>
      <c r="G22" s="10" t="s">
        <v>2</v>
      </c>
    </row>
    <row r="23" spans="2:11" x14ac:dyDescent="0.25">
      <c r="B23" s="44" t="s">
        <v>24</v>
      </c>
      <c r="C23" s="47">
        <v>16.5</v>
      </c>
      <c r="E23" s="15" t="s">
        <v>3</v>
      </c>
      <c r="F23" s="14">
        <f>F34</f>
        <v>0</v>
      </c>
      <c r="G23" s="91">
        <f>SUM(F23:F31)</f>
        <v>9383.7888938596898</v>
      </c>
    </row>
    <row r="24" spans="2:11" x14ac:dyDescent="0.25">
      <c r="B24" s="45" t="s">
        <v>25</v>
      </c>
      <c r="C24" s="48">
        <v>500</v>
      </c>
      <c r="E24" s="15" t="s">
        <v>4</v>
      </c>
      <c r="F24" s="14">
        <f>(6600064.6-5873185.24)/881.066</f>
        <v>824.99989785101161</v>
      </c>
      <c r="G24" s="91"/>
    </row>
    <row r="25" spans="2:11" x14ac:dyDescent="0.25">
      <c r="B25" s="45" t="s">
        <v>26</v>
      </c>
      <c r="C25" s="49">
        <v>10</v>
      </c>
      <c r="E25" s="15" t="s">
        <v>5</v>
      </c>
      <c r="F25" s="14">
        <f>(5873185.24)/881.066</f>
        <v>6665.9991873480531</v>
      </c>
      <c r="G25" s="91"/>
    </row>
    <row r="26" spans="2:11" x14ac:dyDescent="0.25">
      <c r="B26" s="45" t="s">
        <v>6</v>
      </c>
      <c r="C26" s="50">
        <f>C24*C25</f>
        <v>5000</v>
      </c>
      <c r="E26" s="15" t="s">
        <v>7</v>
      </c>
      <c r="F26" s="14">
        <f>(60+286.56)+100.72+25.18</f>
        <v>472.46</v>
      </c>
      <c r="G26" s="91"/>
    </row>
    <row r="27" spans="2:11" x14ac:dyDescent="0.25">
      <c r="B27" s="45" t="s">
        <v>8</v>
      </c>
      <c r="C27" s="49">
        <f>C23*C26</f>
        <v>82500</v>
      </c>
      <c r="E27" s="15" t="s">
        <v>9</v>
      </c>
      <c r="F27" s="14">
        <f>3909.55*COSTEO!G17/100</f>
        <v>984.27744209466266</v>
      </c>
      <c r="G27" s="91"/>
    </row>
    <row r="28" spans="2:11" x14ac:dyDescent="0.25">
      <c r="B28" s="45" t="s">
        <v>27</v>
      </c>
      <c r="C28" s="18">
        <f>G23/C26</f>
        <v>1.8767577787719381</v>
      </c>
      <c r="E28" s="15" t="s">
        <v>10</v>
      </c>
      <c r="F28" s="14">
        <f>842*COSTEO!G17/100</f>
        <v>211.98388721047334</v>
      </c>
      <c r="G28" s="91"/>
    </row>
    <row r="29" spans="2:11" s="2" customFormat="1" x14ac:dyDescent="0.25">
      <c r="B29" s="45" t="s">
        <v>28</v>
      </c>
      <c r="C29" s="18">
        <f>C28+C23</f>
        <v>18.376757778771939</v>
      </c>
      <c r="D29" s="13"/>
      <c r="E29" s="15" t="s">
        <v>11</v>
      </c>
      <c r="F29" s="14">
        <f>(700)*G17/100</f>
        <v>176.23363544813697</v>
      </c>
      <c r="G29" s="91"/>
      <c r="H29" s="1"/>
      <c r="J29" s="54"/>
      <c r="K29" s="1"/>
    </row>
    <row r="30" spans="2:11" s="2" customFormat="1" x14ac:dyDescent="0.25">
      <c r="B30" s="45" t="s">
        <v>12</v>
      </c>
      <c r="C30" s="18">
        <f>C29*1.5%</f>
        <v>0.27565136668157908</v>
      </c>
      <c r="D30" s="13"/>
      <c r="E30" s="15" t="s">
        <v>31</v>
      </c>
      <c r="F30" s="14">
        <f>(150)*G17/100</f>
        <v>37.764350453172206</v>
      </c>
      <c r="G30" s="91"/>
      <c r="H30" s="1"/>
      <c r="J30" s="54"/>
      <c r="K30" s="1"/>
    </row>
    <row r="31" spans="2:11" s="2" customFormat="1" ht="15.75" thickBot="1" x14ac:dyDescent="0.3">
      <c r="B31" s="46" t="s">
        <v>13</v>
      </c>
      <c r="C31" s="51">
        <f>+G23/C27</f>
        <v>0.11374289568314776</v>
      </c>
      <c r="D31" s="13"/>
      <c r="E31" s="38" t="s">
        <v>32</v>
      </c>
      <c r="F31" s="62">
        <f>(40)*G17/100</f>
        <v>10.070493454179255</v>
      </c>
      <c r="G31" s="92"/>
      <c r="H31" s="1"/>
      <c r="J31" s="54"/>
      <c r="K31" s="1"/>
    </row>
    <row r="32" spans="2:11" s="2" customFormat="1" ht="15.75" thickBot="1" x14ac:dyDescent="0.3">
      <c r="B32" s="20"/>
      <c r="C32" s="13"/>
      <c r="D32" s="13"/>
      <c r="E32" s="13"/>
      <c r="F32" s="26"/>
      <c r="G32" s="21"/>
      <c r="H32" s="1"/>
      <c r="J32" s="54"/>
      <c r="K32" s="1"/>
    </row>
    <row r="33" spans="2:11" s="2" customFormat="1" ht="27.75" customHeight="1" thickBot="1" x14ac:dyDescent="0.3">
      <c r="B33" s="41" t="s">
        <v>29</v>
      </c>
      <c r="C33" s="42">
        <f>C29+C30</f>
        <v>18.652409145453518</v>
      </c>
      <c r="D33" s="13"/>
      <c r="E33" s="13"/>
      <c r="F33" s="26"/>
      <c r="G33" s="21"/>
      <c r="H33" s="1"/>
      <c r="J33" s="54"/>
      <c r="K33" s="1"/>
    </row>
    <row r="34" spans="2:11" s="2" customFormat="1" ht="22.5" customHeight="1" thickBot="1" x14ac:dyDescent="0.3">
      <c r="B34" s="68" t="s">
        <v>37</v>
      </c>
      <c r="C34" s="69">
        <f>(0.28*5000)+9383.79</f>
        <v>10783.79</v>
      </c>
      <c r="D34" s="13"/>
      <c r="E34" s="13"/>
      <c r="F34" s="26"/>
      <c r="G34" s="21"/>
      <c r="H34" s="1"/>
      <c r="J34" s="54"/>
      <c r="K34" s="1"/>
    </row>
    <row r="35" spans="2:11" s="2" customFormat="1" x14ac:dyDescent="0.25">
      <c r="B35" s="28"/>
      <c r="C35" s="28"/>
      <c r="D35" s="13"/>
      <c r="E35" s="13"/>
      <c r="F35" s="26"/>
      <c r="G35" s="30"/>
      <c r="H35" s="27"/>
      <c r="J35" s="54"/>
      <c r="K35" s="1"/>
    </row>
    <row r="36" spans="2:11" s="2" customFormat="1" x14ac:dyDescent="0.25">
      <c r="B36" s="28"/>
      <c r="C36" s="28"/>
      <c r="D36" s="13"/>
      <c r="E36" s="13"/>
      <c r="F36" s="26"/>
      <c r="G36" s="30"/>
      <c r="H36" s="27"/>
      <c r="J36" s="54"/>
      <c r="K36" s="1"/>
    </row>
    <row r="37" spans="2:11" s="2" customFormat="1" x14ac:dyDescent="0.25">
      <c r="B37" s="28"/>
      <c r="C37" s="28"/>
      <c r="D37" s="13"/>
      <c r="E37" s="13"/>
      <c r="F37" s="26"/>
      <c r="G37" s="30"/>
      <c r="H37" s="27"/>
      <c r="J37" s="54"/>
      <c r="K37" s="1"/>
    </row>
    <row r="38" spans="2:11" s="2" customFormat="1" ht="24.75" customHeight="1" x14ac:dyDescent="0.25">
      <c r="B38" s="84" t="s">
        <v>2</v>
      </c>
      <c r="C38" s="84"/>
      <c r="D38" s="13"/>
      <c r="E38" s="13"/>
      <c r="F38" s="26"/>
      <c r="G38" s="31"/>
      <c r="H38" s="31"/>
      <c r="J38" s="54"/>
      <c r="K38" s="1"/>
    </row>
    <row r="39" spans="2:11" s="2" customFormat="1" x14ac:dyDescent="0.25">
      <c r="B39" s="13" t="s">
        <v>17</v>
      </c>
      <c r="C39" s="32">
        <f t="shared" ref="C39:C47" si="1">F5+F23</f>
        <v>0</v>
      </c>
      <c r="D39" s="13"/>
      <c r="E39" s="33"/>
      <c r="F39" s="26"/>
      <c r="G39" s="31"/>
      <c r="H39" s="31"/>
      <c r="J39" s="54"/>
      <c r="K39" s="1"/>
    </row>
    <row r="40" spans="2:11" s="2" customFormat="1" ht="20.25" customHeight="1" x14ac:dyDescent="0.25">
      <c r="B40" s="13" t="s">
        <v>18</v>
      </c>
      <c r="C40" s="32">
        <f t="shared" si="1"/>
        <v>2496.7500051074485</v>
      </c>
      <c r="D40" s="13"/>
      <c r="E40" s="33"/>
      <c r="F40" s="26"/>
      <c r="G40" s="31"/>
      <c r="H40" s="31"/>
      <c r="J40" s="54"/>
      <c r="K40" s="1"/>
    </row>
    <row r="41" spans="2:11" s="2" customFormat="1" ht="20.25" customHeight="1" x14ac:dyDescent="0.25">
      <c r="B41" s="13" t="s">
        <v>19</v>
      </c>
      <c r="C41" s="32">
        <f t="shared" si="1"/>
        <v>20173.739992236675</v>
      </c>
      <c r="D41" s="13"/>
      <c r="E41" s="33">
        <f>C41+C40</f>
        <v>22670.489997344124</v>
      </c>
      <c r="F41" s="26"/>
      <c r="G41" s="31"/>
      <c r="H41" s="31"/>
      <c r="J41" s="54"/>
      <c r="K41" s="1"/>
    </row>
    <row r="42" spans="2:11" s="2" customFormat="1" ht="20.25" customHeight="1" x14ac:dyDescent="0.25">
      <c r="B42" s="13" t="s">
        <v>23</v>
      </c>
      <c r="C42" s="32">
        <f t="shared" si="1"/>
        <v>1606.47</v>
      </c>
      <c r="D42" s="13"/>
      <c r="E42" s="33"/>
      <c r="F42" s="26"/>
      <c r="G42" s="31"/>
      <c r="H42" s="31"/>
      <c r="J42" s="54"/>
      <c r="K42" s="1"/>
    </row>
    <row r="43" spans="2:11" s="2" customFormat="1" ht="20.25" customHeight="1" x14ac:dyDescent="0.25">
      <c r="B43" s="13" t="s">
        <v>20</v>
      </c>
      <c r="C43" s="32">
        <f t="shared" si="1"/>
        <v>3909.5499999999997</v>
      </c>
      <c r="D43" s="13"/>
      <c r="E43" s="33"/>
      <c r="F43" s="26"/>
      <c r="G43" s="31"/>
      <c r="H43" s="31"/>
      <c r="J43" s="54"/>
      <c r="K43" s="1"/>
    </row>
    <row r="44" spans="2:11" s="2" customFormat="1" ht="20.25" customHeight="1" x14ac:dyDescent="0.25">
      <c r="B44" s="13" t="s">
        <v>21</v>
      </c>
      <c r="C44" s="32">
        <f t="shared" si="1"/>
        <v>842</v>
      </c>
      <c r="D44" s="13"/>
      <c r="E44" s="34"/>
      <c r="F44" s="35"/>
      <c r="G44" s="31"/>
      <c r="H44" s="31"/>
      <c r="J44" s="54"/>
      <c r="K44" s="1"/>
    </row>
    <row r="45" spans="2:11" s="2" customFormat="1" ht="25.5" customHeight="1" x14ac:dyDescent="0.25">
      <c r="B45" s="52" t="s">
        <v>22</v>
      </c>
      <c r="C45" s="53">
        <f t="shared" si="1"/>
        <v>700</v>
      </c>
      <c r="D45" s="13"/>
      <c r="E45" s="33"/>
      <c r="F45" s="33">
        <f>G23+G5</f>
        <v>29918.509997344125</v>
      </c>
      <c r="G45" s="13"/>
      <c r="H45" s="1"/>
      <c r="J45" s="54"/>
      <c r="K45" s="1"/>
    </row>
    <row r="46" spans="2:11" s="2" customFormat="1" ht="25.5" customHeight="1" x14ac:dyDescent="0.25">
      <c r="B46" s="52" t="s">
        <v>30</v>
      </c>
      <c r="C46" s="53">
        <f t="shared" si="1"/>
        <v>150</v>
      </c>
      <c r="D46" s="13"/>
      <c r="E46" s="33"/>
      <c r="F46" s="13"/>
      <c r="G46" s="13"/>
      <c r="H46" s="1"/>
      <c r="J46" s="54"/>
      <c r="K46" s="1"/>
    </row>
    <row r="47" spans="2:11" s="2" customFormat="1" ht="25.5" customHeight="1" thickBot="1" x14ac:dyDescent="0.3">
      <c r="B47" s="29" t="s">
        <v>33</v>
      </c>
      <c r="C47" s="36">
        <f t="shared" si="1"/>
        <v>39.999999999999993</v>
      </c>
      <c r="D47" s="13"/>
      <c r="E47" s="33"/>
      <c r="F47" s="13"/>
      <c r="G47" s="13"/>
      <c r="H47" s="1"/>
      <c r="J47" s="54"/>
      <c r="K47" s="1"/>
    </row>
    <row r="48" spans="2:11" s="2" customFormat="1" ht="16.5" thickTop="1" x14ac:dyDescent="0.25">
      <c r="B48" s="22" t="s">
        <v>2</v>
      </c>
      <c r="C48" s="43">
        <f>SUM(C39:C47)</f>
        <v>29918.509997344125</v>
      </c>
      <c r="D48" s="13"/>
      <c r="E48" s="22"/>
      <c r="F48" s="13"/>
      <c r="G48" s="13"/>
      <c r="H48" s="1"/>
      <c r="J48" s="54"/>
      <c r="K48" s="1"/>
    </row>
    <row r="49" spans="3:4" x14ac:dyDescent="0.25">
      <c r="C49" s="61"/>
      <c r="D49" s="52"/>
    </row>
    <row r="50" spans="3:4" x14ac:dyDescent="0.25">
      <c r="C50" s="61"/>
      <c r="D50" s="52"/>
    </row>
    <row r="51" spans="3:4" x14ac:dyDescent="0.25">
      <c r="C51" s="61"/>
      <c r="D51" s="52"/>
    </row>
    <row r="52" spans="3:4" x14ac:dyDescent="0.25">
      <c r="C52" s="61"/>
      <c r="D52" s="52"/>
    </row>
    <row r="53" spans="3:4" x14ac:dyDescent="0.25">
      <c r="C53" s="61"/>
      <c r="D53" s="52"/>
    </row>
    <row r="54" spans="3:4" x14ac:dyDescent="0.25">
      <c r="C54" s="61"/>
      <c r="D54" s="52"/>
    </row>
    <row r="55" spans="3:4" x14ac:dyDescent="0.25">
      <c r="C55" s="61"/>
      <c r="D55" s="52"/>
    </row>
    <row r="56" spans="3:4" x14ac:dyDescent="0.25">
      <c r="C56" s="61"/>
      <c r="D56" s="52"/>
    </row>
    <row r="57" spans="3:4" x14ac:dyDescent="0.25">
      <c r="C57" s="61"/>
      <c r="D57" s="52"/>
    </row>
    <row r="58" spans="3:4" x14ac:dyDescent="0.25">
      <c r="C58" s="61"/>
      <c r="D58" s="52"/>
    </row>
    <row r="59" spans="3:4" x14ac:dyDescent="0.25">
      <c r="C59" s="60"/>
    </row>
    <row r="60" spans="3:4" x14ac:dyDescent="0.25">
      <c r="C60" s="60"/>
    </row>
    <row r="61" spans="3:4" x14ac:dyDescent="0.25">
      <c r="C61" s="60"/>
    </row>
    <row r="62" spans="3:4" x14ac:dyDescent="0.25">
      <c r="C62" s="60"/>
    </row>
    <row r="63" spans="3:4" x14ac:dyDescent="0.25">
      <c r="C63" s="60"/>
    </row>
    <row r="64" spans="3:4" x14ac:dyDescent="0.25">
      <c r="C64" s="60"/>
    </row>
    <row r="65" spans="3:3" x14ac:dyDescent="0.25">
      <c r="C65" s="60"/>
    </row>
    <row r="66" spans="3:3" x14ac:dyDescent="0.25">
      <c r="C66" s="60"/>
    </row>
    <row r="67" spans="3:3" x14ac:dyDescent="0.25">
      <c r="C67" s="60"/>
    </row>
    <row r="68" spans="3:3" x14ac:dyDescent="0.25">
      <c r="C68" s="60"/>
    </row>
    <row r="69" spans="3:3" x14ac:dyDescent="0.25">
      <c r="C69" s="60"/>
    </row>
    <row r="70" spans="3:3" x14ac:dyDescent="0.25">
      <c r="C70" s="60"/>
    </row>
    <row r="71" spans="3:3" x14ac:dyDescent="0.25">
      <c r="C71" s="33"/>
    </row>
    <row r="72" spans="3:3" x14ac:dyDescent="0.25">
      <c r="C72" s="33"/>
    </row>
    <row r="73" spans="3:3" x14ac:dyDescent="0.25">
      <c r="C73" s="33"/>
    </row>
    <row r="74" spans="3:3" x14ac:dyDescent="0.25">
      <c r="C74" s="33"/>
    </row>
    <row r="75" spans="3:3" x14ac:dyDescent="0.25">
      <c r="C75" s="33"/>
    </row>
    <row r="76" spans="3:3" x14ac:dyDescent="0.25">
      <c r="C76" s="33"/>
    </row>
    <row r="77" spans="3:3" x14ac:dyDescent="0.25">
      <c r="C77" s="33"/>
    </row>
    <row r="78" spans="3:3" x14ac:dyDescent="0.25">
      <c r="C78" s="33"/>
    </row>
    <row r="79" spans="3:3" x14ac:dyDescent="0.25">
      <c r="C79" s="33"/>
    </row>
    <row r="80" spans="3:3" x14ac:dyDescent="0.25">
      <c r="C80" s="33"/>
    </row>
    <row r="81" spans="3:3" x14ac:dyDescent="0.25">
      <c r="C81" s="33"/>
    </row>
    <row r="82" spans="3:3" x14ac:dyDescent="0.25">
      <c r="C82" s="33"/>
    </row>
    <row r="83" spans="3:3" x14ac:dyDescent="0.25">
      <c r="C83" s="33"/>
    </row>
    <row r="84" spans="3:3" x14ac:dyDescent="0.25">
      <c r="C84" s="33"/>
    </row>
    <row r="85" spans="3:3" x14ac:dyDescent="0.25">
      <c r="C85" s="33"/>
    </row>
    <row r="86" spans="3:3" x14ac:dyDescent="0.25">
      <c r="C86" s="33"/>
    </row>
    <row r="87" spans="3:3" x14ac:dyDescent="0.25">
      <c r="C87" s="33"/>
    </row>
    <row r="88" spans="3:3" x14ac:dyDescent="0.25">
      <c r="C88" s="33"/>
    </row>
    <row r="89" spans="3:3" x14ac:dyDescent="0.25">
      <c r="C89" s="33"/>
    </row>
    <row r="90" spans="3:3" x14ac:dyDescent="0.25">
      <c r="C90" s="33"/>
    </row>
    <row r="91" spans="3:3" x14ac:dyDescent="0.25">
      <c r="C91" s="33"/>
    </row>
    <row r="92" spans="3:3" x14ac:dyDescent="0.25">
      <c r="C92" s="33"/>
    </row>
    <row r="93" spans="3:3" x14ac:dyDescent="0.25">
      <c r="C93" s="33"/>
    </row>
    <row r="94" spans="3:3" x14ac:dyDescent="0.25">
      <c r="C94" s="33"/>
    </row>
    <row r="95" spans="3:3" x14ac:dyDescent="0.25">
      <c r="C95" s="33"/>
    </row>
  </sheetData>
  <mergeCells count="6">
    <mergeCell ref="B38:C38"/>
    <mergeCell ref="B2:G2"/>
    <mergeCell ref="B3:G3"/>
    <mergeCell ref="B21:G21"/>
    <mergeCell ref="G23:G31"/>
    <mergeCell ref="G5:G13"/>
  </mergeCells>
  <pageMargins left="0.31496062992125984" right="0.31496062992125984" top="0.15748031496062992" bottom="0.15748031496062992" header="0.31496062992125984" footer="0.31496062992125984"/>
  <pageSetup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Salazar</dc:creator>
  <cp:lastModifiedBy>pc</cp:lastModifiedBy>
  <cp:lastPrinted>2026-10-23T18:16:11Z</cp:lastPrinted>
  <dcterms:created xsi:type="dcterms:W3CDTF">2004-09-22T12:45:22Z</dcterms:created>
  <dcterms:modified xsi:type="dcterms:W3CDTF">2026-10-26T21:19:22Z</dcterms:modified>
</cp:coreProperties>
</file>